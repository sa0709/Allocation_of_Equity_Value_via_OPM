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nowledge Database\OPM\"/>
    </mc:Choice>
  </mc:AlternateContent>
  <xr:revisionPtr revIDLastSave="0" documentId="13_ncr:1_{F57B74EA-82C4-4A56-818F-98FE08CC70E3}" xr6:coauthVersionLast="47" xr6:coauthVersionMax="47" xr10:uidLastSave="{00000000-0000-0000-0000-000000000000}"/>
  <bookViews>
    <workbookView xWindow="-120" yWindow="-120" windowWidth="29040" windowHeight="17520" activeTab="1" xr2:uid="{A2453D57-02B5-4099-B186-5544AEBDEF09}"/>
  </bookViews>
  <sheets>
    <sheet name="Cap_table" sheetId="2" r:id="rId1"/>
    <sheet name="Vol" sheetId="3" r:id="rId2"/>
    <sheet name="Input" sheetId="1" r:id="rId3"/>
  </sheets>
  <definedNames>
    <definedName name="_xlnm._FilterDatabase" localSheetId="0" hidden="1">Cap_table!$A$1:$H$11</definedName>
  </definedNames>
  <calcPr calcId="191029" calcMode="manual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<sst xmlns="http://schemas.openxmlformats.org/spreadsheetml/2006/main" count="39" uniqueCount="31">
  <si>
    <t>Inputs</t>
  </si>
  <si>
    <t>Amount</t>
  </si>
  <si>
    <t>Fair_Market_Value_of_Equity</t>
  </si>
  <si>
    <t>Risk_Free_Rate</t>
  </si>
  <si>
    <t>Volatility</t>
  </si>
  <si>
    <t>Time_to_Liquidation_Event_(in_Years)</t>
  </si>
  <si>
    <t>Class of Securities</t>
  </si>
  <si>
    <t># Shares</t>
  </si>
  <si>
    <t>% Holding on a Fully Diluted Basis</t>
  </si>
  <si>
    <t>Liquidation Preference</t>
  </si>
  <si>
    <t>Equity</t>
  </si>
  <si>
    <t>Series B CCPS</t>
  </si>
  <si>
    <t>Equity - PI Opportunities Fund II</t>
  </si>
  <si>
    <t>Series A1 - PI Opportunities Fund II</t>
  </si>
  <si>
    <t>Series A2 - PI Opportunities Fund II</t>
  </si>
  <si>
    <t>Series C CCPS - PI Opportunities Fund II</t>
  </si>
  <si>
    <t>Series A1</t>
  </si>
  <si>
    <t>Equity - WestBridge AIF I</t>
  </si>
  <si>
    <t>Series A1 - WestBridge AIF I</t>
  </si>
  <si>
    <t>Series B CCPS - WestBridge AIF I</t>
  </si>
  <si>
    <t>Issue Price Per Share (INR)</t>
  </si>
  <si>
    <t>Liquidation Multiplier</t>
  </si>
  <si>
    <t>Dividend Rate</t>
  </si>
  <si>
    <t>Investment Date</t>
  </si>
  <si>
    <t>Valuation_Date</t>
  </si>
  <si>
    <t>Name of Company</t>
  </si>
  <si>
    <t>Equity Value</t>
  </si>
  <si>
    <t>Net Debt</t>
  </si>
  <si>
    <t>Equity Volatility</t>
  </si>
  <si>
    <t>Risk Free Rate</t>
  </si>
  <si>
    <t>&lt;Company 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</si>
</sst>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21" fillId="0" borderId="0"/>
  </cellStyleXfs>
  <cellXfs count="14">
    <xf numFmtId="0" fontId="0" fillId="0" borderId="0" xfId="0"/>
    <xf numFmtId="3" fontId="0" fillId="0" borderId="0" xfId="0" applyNumberFormat="1"/>
    <xf numFmtId="0" fontId="18" fillId="33" borderId="10" xfId="0" applyFont="1" applyFill="1" applyBorder="1" applyAlignment="1">
      <alignment horizontal="center" wrapText="1"/>
    </xf>
    <xf numFmtId="164" fontId="19" fillId="0" borderId="0" xfId="42" applyNumberFormat="1" applyFont="1" applyBorder="1" applyAlignment="1">
      <alignment vertical="center"/>
    </xf>
    <xf numFmtId="10" fontId="19" fillId="0" borderId="0" xfId="0" applyNumberFormat="1" applyFont="1"/>
    <xf numFmtId="0" fontId="20" fillId="0" borderId="0" xfId="42" applyNumberFormat="1" applyFont="1" applyAlignment="1">
      <alignment horizontal="center"/>
    </xf>
    <xf numFmtId="10" fontId="19" fillId="0" borderId="0" xfId="42" applyNumberFormat="1" applyFont="1" applyBorder="1" applyAlignment="1">
      <alignment vertical="center"/>
    </xf>
    <xf numFmtId="43" fontId="19" fillId="0" borderId="0" xfId="42" applyFont="1" applyBorder="1" applyAlignment="1">
      <alignment vertical="center"/>
    </xf>
    <xf numFmtId="14" fontId="0" fillId="0" borderId="0" xfId="0" applyNumberFormat="1"/>
    <xf numFmtId="14" fontId="19" fillId="0" borderId="0" xfId="42" applyNumberFormat="1" applyFont="1" applyBorder="1" applyAlignment="1">
      <alignment vertical="center"/>
    </xf>
    <xf numFmtId="0" fontId="19" fillId="0" borderId="0" xfId="42" applyNumberFormat="1" applyFont="1" applyBorder="1" applyAlignment="1">
      <alignment vertical="center"/>
    </xf>
    <xf numFmtId="0" fontId="22" fillId="33" borderId="10" xfId="43" applyFont="1" applyFill="1" applyBorder="1" applyAlignment="1">
      <alignment horizontal="center"/>
    </xf>
    <xf numFmtId="0" fontId="21" fillId="0" borderId="0" xfId="43"/>
    <xf numFmtId="43" fontId="21" fillId="0" borderId="0" xfId="42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3" xfId="43" xr:uid="{E2805C4E-F2A1-479F-BE8D-F34A6D8A7389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BA565-D977-4029-B188-3B7E7515C1CD}">
  <dimension ref="A1:H11"/>
  <sheetViews>
    <sheetView zoomScaleNormal="100" workbookViewId="0">
      <selection activeCell="H3" sqref="H3"/>
    </sheetView>
  </sheetViews>
  <sheetFormatPr defaultRowHeight="15" x14ac:dyDescent="0.25"/>
  <cols>
    <col min="1" max="1" width="41.5703125" bestFit="1" customWidth="1"/>
    <col min="2" max="8" width="15.7109375" customWidth="1"/>
  </cols>
  <sheetData>
    <row r="1" spans="1:8" ht="45" x14ac:dyDescent="0.25">
      <c r="A1" s="2" t="s">
        <v>6</v>
      </c>
      <c r="B1" s="2" t="s">
        <v>7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8</v>
      </c>
      <c r="H1" s="2" t="s">
        <v>9</v>
      </c>
    </row>
    <row r="2" spans="1:8" x14ac:dyDescent="0.25">
      <c r="A2" s="10" t="s">
        <v>10</v>
      </c>
      <c r="B2" s="3">
        <v>9102</v>
      </c>
      <c r="C2" s="3">
        <v>0</v>
      </c>
      <c r="D2" s="7">
        <v>1</v>
      </c>
      <c r="E2" s="6">
        <v>0.1</v>
      </c>
      <c r="F2" s="9">
        <v>45658</v>
      </c>
      <c r="G2" s="4">
        <v>0.52906300860265054</v>
      </c>
      <c r="H2" s="5">
        <v>0</v>
      </c>
    </row>
    <row r="3" spans="1:8" x14ac:dyDescent="0.25">
      <c r="A3" s="10" t="s">
        <v>11</v>
      </c>
      <c r="B3" s="3">
        <v>32</v>
      </c>
      <c r="C3" s="3">
        <v>3330371.8566894531</v>
      </c>
      <c r="D3" s="7">
        <v>1</v>
      </c>
      <c r="E3" s="6">
        <v>0.1</v>
      </c>
      <c r="F3" s="9">
        <v>45658</v>
      </c>
      <c r="G3" s="4">
        <v>1.860032550569635E-3</v>
      </c>
      <c r="H3" s="5">
        <v>1</v>
      </c>
    </row>
    <row r="4" spans="1:8" x14ac:dyDescent="0.25">
      <c r="A4" s="10" t="s">
        <v>12</v>
      </c>
      <c r="B4" s="3">
        <v>866</v>
      </c>
      <c r="C4" s="3">
        <v>3330371.8566894531</v>
      </c>
      <c r="D4" s="7">
        <v>1</v>
      </c>
      <c r="E4" s="6">
        <v>0.1</v>
      </c>
      <c r="F4" s="9">
        <v>45658</v>
      </c>
      <c r="G4" s="4">
        <v>5.033713089979075E-2</v>
      </c>
      <c r="H4" s="5">
        <v>1</v>
      </c>
    </row>
    <row r="5" spans="1:8" x14ac:dyDescent="0.25">
      <c r="A5" s="10" t="s">
        <v>13</v>
      </c>
      <c r="B5" s="3">
        <v>1047</v>
      </c>
      <c r="C5" s="3">
        <v>3330371.8566894531</v>
      </c>
      <c r="D5" s="7">
        <v>1</v>
      </c>
      <c r="E5" s="6">
        <v>0.1</v>
      </c>
      <c r="F5" s="9">
        <v>45658</v>
      </c>
      <c r="G5" s="4">
        <v>6.0857940013950243E-2</v>
      </c>
      <c r="H5" s="5">
        <v>1</v>
      </c>
    </row>
    <row r="6" spans="1:8" x14ac:dyDescent="0.25">
      <c r="A6" s="10" t="s">
        <v>14</v>
      </c>
      <c r="B6" s="3">
        <v>1</v>
      </c>
      <c r="C6" s="3">
        <v>3330371.8566894531</v>
      </c>
      <c r="D6" s="7">
        <v>1</v>
      </c>
      <c r="E6" s="6">
        <v>0.1</v>
      </c>
      <c r="F6" s="9">
        <v>45658</v>
      </c>
      <c r="G6" s="4">
        <v>5.8126017205301093E-5</v>
      </c>
      <c r="H6" s="5">
        <v>1</v>
      </c>
    </row>
    <row r="7" spans="1:8" x14ac:dyDescent="0.25">
      <c r="A7" s="10" t="s">
        <v>15</v>
      </c>
      <c r="B7" s="3">
        <v>2176</v>
      </c>
      <c r="C7" s="3">
        <v>3330371.8566894531</v>
      </c>
      <c r="D7" s="7">
        <v>1</v>
      </c>
      <c r="E7" s="6">
        <v>0.1</v>
      </c>
      <c r="F7" s="9">
        <v>45658</v>
      </c>
      <c r="G7" s="4">
        <v>0.12648221343873517</v>
      </c>
      <c r="H7" s="5">
        <v>1</v>
      </c>
    </row>
    <row r="8" spans="1:8" x14ac:dyDescent="0.25">
      <c r="A8" s="10" t="s">
        <v>16</v>
      </c>
      <c r="B8" s="3">
        <v>14</v>
      </c>
      <c r="C8" s="3">
        <v>3330371.8566894531</v>
      </c>
      <c r="D8" s="7">
        <v>1</v>
      </c>
      <c r="E8" s="6">
        <v>0.1</v>
      </c>
      <c r="F8" s="9">
        <v>45658</v>
      </c>
      <c r="G8" s="4">
        <v>8.1376424087421535E-4</v>
      </c>
      <c r="H8" s="5">
        <v>1</v>
      </c>
    </row>
    <row r="9" spans="1:8" x14ac:dyDescent="0.25">
      <c r="A9" s="10" t="s">
        <v>17</v>
      </c>
      <c r="B9" s="3">
        <v>1798</v>
      </c>
      <c r="C9" s="3">
        <v>5283093.4342805836</v>
      </c>
      <c r="D9" s="7">
        <v>1</v>
      </c>
      <c r="E9" s="6">
        <v>0.1</v>
      </c>
      <c r="F9" s="9">
        <v>45658</v>
      </c>
      <c r="G9" s="4">
        <v>0.10451057893513137</v>
      </c>
      <c r="H9" s="5">
        <v>1</v>
      </c>
    </row>
    <row r="10" spans="1:8" x14ac:dyDescent="0.25">
      <c r="A10" s="10" t="s">
        <v>18</v>
      </c>
      <c r="B10" s="3">
        <v>785</v>
      </c>
      <c r="C10" s="3">
        <v>5283093.4342805836</v>
      </c>
      <c r="D10" s="7">
        <v>1</v>
      </c>
      <c r="E10" s="6">
        <v>0.1</v>
      </c>
      <c r="F10" s="9">
        <v>45658</v>
      </c>
      <c r="G10" s="4">
        <v>4.5628923506161358E-2</v>
      </c>
      <c r="H10" s="5">
        <v>1</v>
      </c>
    </row>
    <row r="11" spans="1:8" x14ac:dyDescent="0.25">
      <c r="A11" s="10" t="s">
        <v>19</v>
      </c>
      <c r="B11" s="3">
        <v>1383</v>
      </c>
      <c r="C11" s="3">
        <v>5283093.4342805836</v>
      </c>
      <c r="D11" s="7">
        <v>1</v>
      </c>
      <c r="E11" s="6">
        <v>0.1</v>
      </c>
      <c r="F11" s="9">
        <v>45658</v>
      </c>
      <c r="G11" s="4">
        <v>8.0388281794931418E-2</v>
      </c>
      <c r="H11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F02F2-8187-4B40-8E34-C1A7DB8C32D9}">
  <dimension ref="A1:E10"/>
  <sheetViews>
    <sheetView tabSelected="1" workbookViewId="0">
      <selection activeCell="F1" sqref="F1"/>
    </sheetView>
  </sheetViews>
  <sheetFormatPr defaultRowHeight="15" x14ac:dyDescent="0.25"/>
  <cols>
    <col min="1" max="1" width="18" bestFit="1" customWidth="1"/>
    <col min="2" max="5" width="15.7109375" customWidth="1"/>
  </cols>
  <sheetData>
    <row r="1" spans="1:5" x14ac:dyDescent="0.25">
      <c r="A1" s="11" t="s">
        <v>25</v>
      </c>
      <c r="B1" s="11" t="s">
        <v>26</v>
      </c>
      <c r="C1" s="11" t="s">
        <v>27</v>
      </c>
      <c r="D1" s="11" t="s">
        <v>28</v>
      </c>
      <c r="E1" s="11" t="s">
        <v>29</v>
      </c>
    </row>
    <row r="2" spans="1:5" x14ac:dyDescent="0.25">
      <c r="A2" s="12" t="s">
        <v>30</v>
      </c>
      <c r="B2" s="13">
        <v>1840.6</v>
      </c>
      <c r="C2" s="13">
        <v>1850</v>
      </c>
      <c r="D2" s="13">
        <v>0.43334659575905959</v>
      </c>
      <c r="E2" s="13">
        <v>3.950913309471249E-2</v>
      </c>
    </row>
    <row r="3" spans="1:5" x14ac:dyDescent="0.25">
      <c r="A3" s="12" t="s">
        <v>30</v>
      </c>
      <c r="B3" s="13">
        <v>5032.8999999999996</v>
      </c>
      <c r="C3" s="13">
        <v>234</v>
      </c>
      <c r="D3" s="13">
        <v>0.33541217211090513</v>
      </c>
      <c r="E3" s="13">
        <v>3.950913309471249E-2</v>
      </c>
    </row>
    <row r="4" spans="1:5" x14ac:dyDescent="0.25">
      <c r="A4" s="12" t="s">
        <v>30</v>
      </c>
      <c r="B4" s="13">
        <v>2611.5</v>
      </c>
      <c r="C4" s="13">
        <v>699.1</v>
      </c>
      <c r="D4" s="13">
        <v>0.26651891036874481</v>
      </c>
      <c r="E4" s="13">
        <v>3.950913309471249E-2</v>
      </c>
    </row>
    <row r="5" spans="1:5" x14ac:dyDescent="0.25">
      <c r="A5" s="12" t="s">
        <v>30</v>
      </c>
      <c r="B5" s="13">
        <v>22169.7</v>
      </c>
      <c r="C5" s="13">
        <v>5479.3</v>
      </c>
      <c r="D5" s="13">
        <v>0.2524103772481579</v>
      </c>
      <c r="E5" s="13">
        <v>3.950913309471249E-2</v>
      </c>
    </row>
    <row r="6" spans="1:5" x14ac:dyDescent="0.25">
      <c r="A6" s="12" t="s">
        <v>30</v>
      </c>
      <c r="B6" s="13">
        <v>34094.6</v>
      </c>
      <c r="C6" s="13">
        <v>15698.2</v>
      </c>
      <c r="D6" s="13">
        <v>0.2786762286662246</v>
      </c>
      <c r="E6" s="13">
        <v>3.950913309471249E-2</v>
      </c>
    </row>
    <row r="7" spans="1:5" x14ac:dyDescent="0.25">
      <c r="A7" s="12" t="s">
        <v>30</v>
      </c>
      <c r="B7" s="13">
        <v>52320.5</v>
      </c>
      <c r="C7" s="13">
        <v>1.0000000000000001E-32</v>
      </c>
      <c r="D7" s="13">
        <v>0.48985789483456599</v>
      </c>
      <c r="E7" s="13">
        <v>3.950913309471249E-2</v>
      </c>
    </row>
    <row r="8" spans="1:5" x14ac:dyDescent="0.25">
      <c r="A8" s="12" t="s">
        <v>30</v>
      </c>
      <c r="B8" s="13">
        <v>9913.2999999999993</v>
      </c>
      <c r="C8" s="13">
        <v>1.0000000000000001E-32</v>
      </c>
      <c r="D8" s="13">
        <v>0.24130601022626336</v>
      </c>
      <c r="E8" s="13">
        <v>3.950913309471249E-2</v>
      </c>
    </row>
    <row r="9" spans="1:5" x14ac:dyDescent="0.25">
      <c r="A9" s="12" t="s">
        <v>30</v>
      </c>
      <c r="B9" s="13">
        <v>255849.4</v>
      </c>
      <c r="C9" s="13">
        <v>1.0000000000000001E-32</v>
      </c>
      <c r="D9" s="13">
        <v>0.56516499625290584</v>
      </c>
      <c r="E9" s="13">
        <v>6.1941401540183363E-2</v>
      </c>
    </row>
    <row r="10" spans="1:5" x14ac:dyDescent="0.25">
      <c r="A10" s="12" t="s">
        <v>30</v>
      </c>
      <c r="B10" s="13">
        <v>503052.7</v>
      </c>
      <c r="C10" s="13">
        <v>1.0000000000000001E-32</v>
      </c>
      <c r="D10" s="13">
        <v>0.37100787002932067</v>
      </c>
      <c r="E10" s="13">
        <v>6.1941401540183363E-2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61D6F-1BB7-41B2-802D-56099BA6D5E6}">
  <dimension ref="A1:B6"/>
  <sheetViews>
    <sheetView workbookViewId="0">
      <selection activeCell="B2" sqref="B2"/>
    </sheetView>
  </sheetViews>
  <sheetFormatPr defaultRowHeight="15" x14ac:dyDescent="0.25"/>
  <cols>
    <col min="1" max="1" width="36" bestFit="1" customWidth="1"/>
    <col min="2" max="2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f>SUM(Cap_table!B2:B11)*Cap_table!C11/10^6</f>
        <v>90890.339443363162</v>
      </c>
    </row>
    <row r="3" spans="1:2" x14ac:dyDescent="0.25">
      <c r="A3" t="s">
        <v>3</v>
      </c>
      <c r="B3">
        <v>6.2509999999999996E-2</v>
      </c>
    </row>
    <row r="4" spans="1:2" x14ac:dyDescent="0.25">
      <c r="A4" t="s">
        <v>4</v>
      </c>
      <c r="B4">
        <v>0.4</v>
      </c>
    </row>
    <row r="5" spans="1:2" x14ac:dyDescent="0.25">
      <c r="A5" t="s">
        <v>5</v>
      </c>
      <c r="B5">
        <v>6</v>
      </c>
    </row>
    <row r="6" spans="1:2" x14ac:dyDescent="0.25">
      <c r="A6" t="s">
        <v>24</v>
      </c>
      <c r="B6" s="8">
        <v>45961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Cap_table</vt:lpstr>
      <vt:lpstr>Vol</vt:lpstr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</dc:creator>
  <cp:lastModifiedBy>Shivam Aggarwal</cp:lastModifiedBy>
  <dcterms:created xsi:type="dcterms:W3CDTF">2025-11-04T09:57:56Z</dcterms:created>
  <dcterms:modified xsi:type="dcterms:W3CDTF">2025-11-25T10:09:52Z</dcterms:modified>
</cp:coreProperties>
</file>