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nowledge Database\OPM\"/>
    </mc:Choice>
  </mc:AlternateContent>
  <xr:revisionPtr revIDLastSave="0" documentId="13_ncr:1_{37D28556-7E10-4C4B-BA56-3D5E5B72DC6E}" xr6:coauthVersionLast="47" xr6:coauthVersionMax="47" xr10:uidLastSave="{00000000-0000-0000-0000-000000000000}"/>
  <bookViews>
    <workbookView xWindow="-28920" yWindow="-120" windowWidth="29040" windowHeight="17520" xr2:uid="{A2453D57-02B5-4099-B186-5544AEBDEF09}"/>
  </bookViews>
  <sheets>
    <sheet name="Cap_table" sheetId="2" r:id="rId1"/>
    <sheet name="Input" sheetId="1" r:id="rId2"/>
  </sheets>
  <definedNames>
    <definedName name="_xlnm._FilterDatabase" localSheetId="0" hidden="1">Cap_table!$A$1:$E$11</definedName>
  </definedNames>
  <calcPr calcId="191029" calcMode="manual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2" l="1"/>
  <c r="E7" i="2" s="1"/>
  <c r="E8" i="2" s="1"/>
  <c r="E9" i="2" s="1"/>
  <c r="E10" i="2" s="1"/>
  <c r="E11" i="2" s="1"/>
  <c r="E5" i="2"/>
</calcChain>
</file>

<file path=xl/sharedStrings.xml><?xml version="1.0" encoding="utf-8"?>
<sst xmlns="http://schemas.openxmlformats.org/spreadsheetml/2006/main" count="21" uniqueCount="21">
  <si>
    <t>Inputs</t>
  </si>
  <si>
    <t>Amount</t>
  </si>
  <si>
    <t>Fair_Market_Value_of_Equity</t>
  </si>
  <si>
    <t>Risk_Free_Rate</t>
  </si>
  <si>
    <t>Volatility</t>
  </si>
  <si>
    <t>Time_to_Liquidation_Event_(in_Years)</t>
  </si>
  <si>
    <t>Class of Securities</t>
  </si>
  <si>
    <t># Shares</t>
  </si>
  <si>
    <t>Conversion Price Per Share (INR)</t>
  </si>
  <si>
    <t>% Holding on a Fully Diluted Basis</t>
  </si>
  <si>
    <t>Liquidation Preference</t>
  </si>
  <si>
    <t>Equity</t>
  </si>
  <si>
    <t>Series B CCPS</t>
  </si>
  <si>
    <t>Equity - PI Opportunities Fund II</t>
  </si>
  <si>
    <t>Series A1 - PI Opportunities Fund II</t>
  </si>
  <si>
    <t>Series A2 - PI Opportunities Fund II</t>
  </si>
  <si>
    <t>Series C CCPS - PI Opportunities Fund II</t>
  </si>
  <si>
    <t>Series A1</t>
  </si>
  <si>
    <t>Equity - WestBridge AIF I</t>
  </si>
  <si>
    <t>Series A1 - WestBridge AIF I</t>
  </si>
  <si>
    <t>Series B CCPS - WestBridge AIF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</si>
</sst>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i/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0" fontId="18" fillId="33" borderId="10" xfId="0" applyFont="1" applyFill="1" applyBorder="1" applyAlignment="1">
      <alignment horizontal="center" wrapText="1"/>
    </xf>
    <xf numFmtId="164" fontId="19" fillId="0" borderId="0" xfId="42" applyNumberFormat="1" applyFont="1" applyBorder="1" applyAlignment="1">
      <alignment vertical="center"/>
    </xf>
    <xf numFmtId="10" fontId="19" fillId="0" borderId="0" xfId="0" applyNumberFormat="1" applyFont="1"/>
    <xf numFmtId="0" fontId="20" fillId="0" borderId="0" xfId="42" applyNumberFormat="1" applyFont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BA565-D977-4029-B188-3B7E7515C1CD}">
  <dimension ref="A1:E11"/>
  <sheetViews>
    <sheetView tabSelected="1" workbookViewId="0">
      <selection activeCell="E6" sqref="E6"/>
    </sheetView>
  </sheetViews>
  <sheetFormatPr defaultRowHeight="15" x14ac:dyDescent="0.25"/>
  <cols>
    <col min="1" max="1" width="41.5703125" bestFit="1" customWidth="1"/>
    <col min="2" max="5" width="15.7109375" customWidth="1"/>
  </cols>
  <sheetData>
    <row r="1" spans="1:5" ht="45" x14ac:dyDescent="0.25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</row>
    <row r="2" spans="1:5" x14ac:dyDescent="0.25">
      <c r="A2" s="3" t="s">
        <v>11</v>
      </c>
      <c r="B2" s="3">
        <v>9102</v>
      </c>
      <c r="C2" s="3">
        <v>0</v>
      </c>
      <c r="D2" s="4">
        <v>0.52906300860265054</v>
      </c>
      <c r="E2" s="5">
        <v>0</v>
      </c>
    </row>
    <row r="3" spans="1:5" x14ac:dyDescent="0.25">
      <c r="A3" s="3" t="s">
        <v>12</v>
      </c>
      <c r="B3" s="3">
        <v>32</v>
      </c>
      <c r="C3" s="3">
        <v>3330371.8566894531</v>
      </c>
      <c r="D3" s="4">
        <v>1.860032550569635E-3</v>
      </c>
      <c r="E3" s="5">
        <v>1</v>
      </c>
    </row>
    <row r="4" spans="1:5" x14ac:dyDescent="0.25">
      <c r="A4" s="3" t="s">
        <v>13</v>
      </c>
      <c r="B4" s="3">
        <v>866</v>
      </c>
      <c r="C4" s="3">
        <v>3330371.8566894531</v>
      </c>
      <c r="D4" s="4">
        <v>5.033713089979075E-2</v>
      </c>
      <c r="E4" s="5">
        <v>2</v>
      </c>
    </row>
    <row r="5" spans="1:5" x14ac:dyDescent="0.25">
      <c r="A5" s="3" t="s">
        <v>14</v>
      </c>
      <c r="B5" s="3">
        <v>1047</v>
      </c>
      <c r="C5" s="3">
        <v>3330371.8566894531</v>
      </c>
      <c r="D5" s="4">
        <v>6.0857940013950243E-2</v>
      </c>
      <c r="E5" s="5">
        <f>E4+1</f>
        <v>3</v>
      </c>
    </row>
    <row r="6" spans="1:5" x14ac:dyDescent="0.25">
      <c r="A6" s="3" t="s">
        <v>15</v>
      </c>
      <c r="B6" s="3">
        <v>1</v>
      </c>
      <c r="C6" s="3">
        <v>3330371.8566894531</v>
      </c>
      <c r="D6" s="4">
        <v>5.8126017205301093E-5</v>
      </c>
      <c r="E6" s="5">
        <f t="shared" ref="E6:E11" si="0">E5+1</f>
        <v>4</v>
      </c>
    </row>
    <row r="7" spans="1:5" x14ac:dyDescent="0.25">
      <c r="A7" s="3" t="s">
        <v>16</v>
      </c>
      <c r="B7" s="3">
        <v>2176</v>
      </c>
      <c r="C7" s="3">
        <v>3330371.8566894531</v>
      </c>
      <c r="D7" s="4">
        <v>0.12648221343873517</v>
      </c>
      <c r="E7" s="5">
        <f t="shared" si="0"/>
        <v>5</v>
      </c>
    </row>
    <row r="8" spans="1:5" x14ac:dyDescent="0.25">
      <c r="A8" s="3" t="s">
        <v>17</v>
      </c>
      <c r="B8" s="3">
        <v>14</v>
      </c>
      <c r="C8" s="3">
        <v>3330371.8566894531</v>
      </c>
      <c r="D8" s="4">
        <v>8.1376424087421535E-4</v>
      </c>
      <c r="E8" s="5">
        <f t="shared" si="0"/>
        <v>6</v>
      </c>
    </row>
    <row r="9" spans="1:5" x14ac:dyDescent="0.25">
      <c r="A9" s="3" t="s">
        <v>18</v>
      </c>
      <c r="B9" s="3">
        <v>1798</v>
      </c>
      <c r="C9" s="3">
        <v>5283093.4342805836</v>
      </c>
      <c r="D9" s="4">
        <v>0.10451057893513137</v>
      </c>
      <c r="E9" s="5">
        <f t="shared" si="0"/>
        <v>7</v>
      </c>
    </row>
    <row r="10" spans="1:5" x14ac:dyDescent="0.25">
      <c r="A10" s="3" t="s">
        <v>19</v>
      </c>
      <c r="B10" s="3">
        <v>785</v>
      </c>
      <c r="C10" s="3">
        <v>5283093.4342805836</v>
      </c>
      <c r="D10" s="4">
        <v>4.5628923506161358E-2</v>
      </c>
      <c r="E10" s="5">
        <f t="shared" si="0"/>
        <v>8</v>
      </c>
    </row>
    <row r="11" spans="1:5" x14ac:dyDescent="0.25">
      <c r="A11" s="3" t="s">
        <v>20</v>
      </c>
      <c r="B11" s="3">
        <v>1383</v>
      </c>
      <c r="C11" s="3">
        <v>5283093.4342805836</v>
      </c>
      <c r="D11" s="4">
        <v>8.0388281794931418E-2</v>
      </c>
      <c r="E11" s="5">
        <f t="shared" si="0"/>
        <v>9</v>
      </c>
    </row>
  </sheetData>
  <autoFilter ref="A1:E11" xr:uid="{BDDBA565-D977-4029-B188-3B7E7515C1C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61D6F-1BB7-41B2-802D-56099BA6D5E6}">
  <dimension ref="A1:B5"/>
  <sheetViews>
    <sheetView workbookViewId="0">
      <selection activeCell="B2" sqref="B2"/>
    </sheetView>
  </sheetViews>
  <sheetFormatPr defaultRowHeight="15" x14ac:dyDescent="0.25"/>
  <cols>
    <col min="1" max="1" width="36" bestFit="1" customWidth="1"/>
    <col min="2" max="2" width="8.140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1">
        <v>10915</v>
      </c>
    </row>
    <row r="3" spans="1:2" x14ac:dyDescent="0.25">
      <c r="A3" t="s">
        <v>3</v>
      </c>
      <c r="B3">
        <v>6.2509999999999996E-2</v>
      </c>
    </row>
    <row r="4" spans="1:2" x14ac:dyDescent="0.25">
      <c r="A4" t="s">
        <v>4</v>
      </c>
      <c r="B4">
        <v>0.4</v>
      </c>
    </row>
    <row r="5" spans="1:2" x14ac:dyDescent="0.25">
      <c r="A5" t="s">
        <v>5</v>
      </c>
      <c r="B5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Cap_table</vt:lpstr>
      <vt:lpstr>Input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Shivam</dc:creator>
  <cp:lastModifiedBy>Shivam Aggarwal</cp:lastModifiedBy>
  <dcterms:created xsi:type="dcterms:W3CDTF">2025-11-04T09:57:56Z</dcterms:created>
  <dcterms:modified xsi:type="dcterms:W3CDTF">2025-11-17T09:44:18Z</dcterms:modified>
</cp:coreProperties>
</file>